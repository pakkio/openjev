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Movies" sheetId="2" state="visible" r:id="rId2"/>
    <sheet name="News" sheetId="3" state="visible" r:id="rId3"/>
    <sheet name="Scores" sheetId="4" state="visible" r:id="rId4"/>
    <sheet name="Claims" sheetId="5" state="visible" r:id="rId5"/>
    <sheet name="Verify" sheetId="6" state="visible" r:id="rId6"/>
    <sheet name="Lists" sheetId="7" state="visible" r:id="rId7"/>
    <sheet name="Bibliograph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7F7F7F"/>
    </font>
    <font>
      <name val="Arial"/>
      <b val="1"/>
      <sz val="14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2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openjev</author>
  </authors>
  <commentList>
    <comment ref="B1" authorId="0" shapeId="0">
      <text>
        <t>Describe a film wish in your own words, e.g. a mood, plot or setting. Don't name the title.</t>
      </text>
    </comment>
    <comment ref="C1" authorId="0" shapeId="0">
      <text>
        <t>Pick the one film that fits the request.</t>
      </text>
    </comment>
  </commentList>
</comments>
</file>

<file path=xl/comments/comment2.xml><?xml version="1.0" encoding="utf-8"?>
<comments xmlns="http://schemas.openxmlformats.org/spreadsheetml/2006/main">
  <authors>
    <author>openjev</author>
  </authors>
  <commentList>
    <comment ref="B1" authorId="0" shapeId="0">
      <text>
        <t>Write a realistic news headline.</t>
      </text>
    </comment>
    <comment ref="C1" authorId="0" shapeId="0">
      <text>
        <t>Pick the newspaper section.</t>
      </text>
    </comment>
  </commentList>
</comments>
</file>

<file path=xl/comments/comment3.xml><?xml version="1.0" encoding="utf-8"?>
<comments xmlns="http://schemas.openxmlformats.org/spreadsheetml/2006/main">
  <authors>
    <author>openjev</author>
  </authors>
  <commentList>
    <comment ref="B1" authorId="0" shapeId="0">
      <text>
        <t>Pick the film the viewer watched.</t>
      </text>
    </comment>
    <comment ref="C1" authorId="0" shapeId="0">
      <text>
        <t>A short comment, e.g. 'fell asleep halfway' or 'already booked a second viewing'.</t>
      </text>
    </comment>
    <comment ref="D1" authorId="0" shapeId="0">
      <text>
        <t>How many stars does that comment imply?</t>
      </text>
    </comment>
  </commentList>
</comments>
</file>

<file path=xl/comments/comment4.xml><?xml version="1.0" encoding="utf-8"?>
<comments xmlns="http://schemas.openxmlformats.org/spreadsheetml/2006/main">
  <authors>
    <author>openjev</author>
  </authors>
  <commentList>
    <comment ref="B1" authorId="0" shapeId="0">
      <text>
        <t>Restate ONE finding from the Bibliography sheet in new words. Omitting the population makes it harder (good).</t>
      </text>
    </comment>
    <comment ref="C1" authorId="0" shapeId="0">
      <text>
        <t>Pick the paper key.</t>
      </text>
    </comment>
  </commentList>
</comments>
</file>

<file path=xl/comments/comment5.xml><?xml version="1.0" encoding="utf-8"?>
<comments xmlns="http://schemas.openxmlformats.org/spreadsheetml/2006/main">
  <authors>
    <author>openjev</author>
  </authors>
  <commentList>
    <comment ref="B1" authorId="0" shapeId="0">
      <text>
        <t>Pick a paper; its findings appear on the right.</t>
      </text>
    </comment>
    <comment ref="D1" authorId="0" shapeId="0">
      <text>
        <t>Write a claim that the paper supports, contradicts (wrong direction or number), or never addresses.</t>
      </text>
    </comment>
    <comment ref="E1" authorId="0" shapeId="0">
      <text>
        <t>supported / refuted / not enough info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70" customWidth="1" min="4" max="4"/>
  </cols>
  <sheetData>
    <row r="1">
      <c r="A1" s="1" t="inlineStr">
        <is>
          <t>openjev — human examples (50 rows)</t>
        </is>
      </c>
    </row>
    <row r="3">
      <c r="A3" s="2" t="inlineStr">
        <is>
          <t>Fill the YELLOW cells on each task sheet. Grey cells fill themselves; don't edit them.</t>
        </is>
      </c>
    </row>
    <row r="4">
      <c r="A4" s="2" t="inlineStr">
        <is>
          <t>Free-text columns: write in your own words, one short sentence. Answer columns: use the dropdown.</t>
        </is>
      </c>
    </row>
    <row r="5">
      <c r="A5" s="2" t="inlineStr">
        <is>
          <t>Row 2 on each sheet is an EXAMPLE (grey italic) and is not exported.</t>
        </is>
      </c>
    </row>
    <row r="6">
      <c r="A6" s="2" t="inlineStr">
        <is>
          <t>Claims and Verify use the invented papers on the Bibliography sheet; read a paper's findings first.</t>
        </is>
      </c>
    </row>
    <row r="7">
      <c r="A7" s="2" t="inlineStr">
        <is>
          <t>Hover a column header for a hint. Partly filled rows are skipped on export.</t>
        </is>
      </c>
    </row>
    <row r="9">
      <c r="A9" s="3" t="inlineStr">
        <is>
          <t>Sheet</t>
        </is>
      </c>
      <c r="B9" s="3" t="inlineStr">
        <is>
          <t>Filled</t>
        </is>
      </c>
      <c r="C9" s="3" t="inlineStr">
        <is>
          <t>Target</t>
        </is>
      </c>
      <c r="D9" s="3" t="inlineStr">
        <is>
          <t>What you do</t>
        </is>
      </c>
    </row>
    <row r="10">
      <c r="A10" s="2" t="inlineStr">
        <is>
          <t>Movies</t>
        </is>
      </c>
      <c r="B10" s="2">
        <f>COUNTIFS(Movies!B3:B14,"&lt;&gt;",Movies!C3:C14,"&lt;&gt;")</f>
        <v/>
      </c>
      <c r="C10" s="2" t="n">
        <v>12</v>
      </c>
      <c r="D10" s="2" t="inlineStr">
        <is>
          <t>Write a film wish, pick the film that fits</t>
        </is>
      </c>
    </row>
    <row r="11">
      <c r="A11" s="2" t="inlineStr">
        <is>
          <t>News</t>
        </is>
      </c>
      <c r="B11" s="2">
        <f>COUNTIFS(News!B3:B14,"&lt;&gt;",News!C3:C14,"&lt;&gt;")</f>
        <v/>
      </c>
      <c r="C11" s="2" t="n">
        <v>12</v>
      </c>
      <c r="D11" s="2" t="inlineStr">
        <is>
          <t>Write a headline, pick its section</t>
        </is>
      </c>
    </row>
    <row r="12">
      <c r="A12" s="2" t="inlineStr">
        <is>
          <t>Scores</t>
        </is>
      </c>
      <c r="B12" s="2">
        <f>COUNTIFS(Scores!C3:C12,"&lt;&gt;",Scores!D3:D12,"&lt;&gt;",Scores!B3:B12,"&lt;&gt;")</f>
        <v/>
      </c>
      <c r="C12" s="2" t="n">
        <v>10</v>
      </c>
      <c r="D12" s="2" t="inlineStr">
        <is>
          <t>Pick a film, write the viewer's reaction, pick the stars</t>
        </is>
      </c>
    </row>
    <row r="13">
      <c r="A13" s="2" t="inlineStr">
        <is>
          <t>Claims</t>
        </is>
      </c>
      <c r="B13" s="2">
        <f>COUNTIFS(Claims!B3:B10,"&lt;&gt;",Claims!C3:C10,"&lt;&gt;")</f>
        <v/>
      </c>
      <c r="C13" s="2" t="n">
        <v>8</v>
      </c>
      <c r="D13" s="2" t="inlineStr">
        <is>
          <t>Rephrase a paper's finding, pick the paper</t>
        </is>
      </c>
    </row>
    <row r="14">
      <c r="A14" s="2" t="inlineStr">
        <is>
          <t>Verify</t>
        </is>
      </c>
      <c r="B14" s="2">
        <f>COUNTIFS(Verify!D3:D10,"&lt;&gt;",Verify!E3:E10,"&lt;&gt;",Verify!B3:B10,"&lt;&gt;")</f>
        <v/>
      </c>
      <c r="C14" s="2" t="n">
        <v>8</v>
      </c>
      <c r="D14" s="2" t="inlineStr">
        <is>
          <t>Pick a paper, write a claim, say if the paper supports it</t>
        </is>
      </c>
    </row>
    <row r="15">
      <c r="A15" s="4" t="inlineStr">
        <is>
          <t>Total</t>
        </is>
      </c>
      <c r="B15" s="4">
        <f>SUM(B10:B14)</f>
        <v/>
      </c>
      <c r="C15" s="4">
        <f>SUM(C10:C14)</f>
        <v/>
      </c>
    </row>
    <row r="17">
      <c r="A17" s="5" t="inlineStr">
        <is>
          <t>Export: .venv/bin/python xlsx_to_jsonl.py data/human/annotate.xlsx  →  data/human/&lt;task&gt;.jsonl</t>
        </is>
      </c>
    </row>
    <row r="19">
      <c r="A19" s="4" t="inlineStr">
        <is>
          <t>Legend</t>
        </is>
      </c>
    </row>
    <row r="20">
      <c r="A20" s="6" t="inlineStr">
        <is>
          <t>fill in</t>
        </is>
      </c>
    </row>
    <row r="21">
      <c r="A21" s="7" t="inlineStr">
        <is>
          <t>automatic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24" customWidth="1" min="3" max="3"/>
    <col width="14" customWidth="1" min="4" max="4"/>
  </cols>
  <sheetData>
    <row r="1" ht="32" customHeight="1">
      <c r="A1" s="3" t="inlineStr">
        <is>
          <t>#</t>
        </is>
      </c>
      <c r="B1" s="8" t="inlineStr">
        <is>
          <t>Viewer request (free text: what they want to watch)</t>
        </is>
      </c>
      <c r="C1" s="8" t="inlineStr">
        <is>
          <t>Best film</t>
        </is>
      </c>
      <c r="D1" s="8" t="inlineStr">
        <is>
          <t>Genre (auto)</t>
        </is>
      </c>
    </row>
    <row r="2">
      <c r="A2" s="5" t="inlineStr">
        <is>
          <t>EXAMPLE</t>
        </is>
      </c>
      <c r="B2" s="9" t="inlineStr">
        <is>
          <t>a lonely astronaut drifting past Jupiter, something quiet and slow</t>
        </is>
      </c>
      <c r="C2" s="9" t="inlineStr">
        <is>
          <t>Solaris Drift</t>
        </is>
      </c>
      <c r="D2" s="9">
        <f>IF(C2="","",INDEX(Lists!$B$2:$B$11,MATCH(C2,Lists!$A$2:$A$11,0)))</f>
        <v/>
      </c>
    </row>
    <row r="3" ht="30" customHeight="1">
      <c r="A3" s="2" t="n">
        <v>1</v>
      </c>
      <c r="B3" s="10" t="n"/>
      <c r="C3" s="10" t="n"/>
      <c r="D3" s="11">
        <f>IF(C3="","",INDEX(Lists!$B$2:$B$11,MATCH(C3,Lists!$A$2:$A$11,0)))</f>
        <v/>
      </c>
    </row>
    <row r="4" ht="30" customHeight="1">
      <c r="A4" s="2" t="n">
        <v>2</v>
      </c>
      <c r="B4" s="10" t="n"/>
      <c r="C4" s="10" t="n"/>
      <c r="D4" s="11">
        <f>IF(C4="","",INDEX(Lists!$B$2:$B$11,MATCH(C4,Lists!$A$2:$A$11,0)))</f>
        <v/>
      </c>
    </row>
    <row r="5" ht="30" customHeight="1">
      <c r="A5" s="2" t="n">
        <v>3</v>
      </c>
      <c r="B5" s="10" t="n"/>
      <c r="C5" s="10" t="n"/>
      <c r="D5" s="11">
        <f>IF(C5="","",INDEX(Lists!$B$2:$B$11,MATCH(C5,Lists!$A$2:$A$11,0)))</f>
        <v/>
      </c>
    </row>
    <row r="6" ht="30" customHeight="1">
      <c r="A6" s="2" t="n">
        <v>4</v>
      </c>
      <c r="B6" s="10" t="n"/>
      <c r="C6" s="10" t="n"/>
      <c r="D6" s="11">
        <f>IF(C6="","",INDEX(Lists!$B$2:$B$11,MATCH(C6,Lists!$A$2:$A$11,0)))</f>
        <v/>
      </c>
    </row>
    <row r="7" ht="30" customHeight="1">
      <c r="A7" s="2" t="n">
        <v>5</v>
      </c>
      <c r="B7" s="10" t="n"/>
      <c r="C7" s="10" t="n"/>
      <c r="D7" s="11">
        <f>IF(C7="","",INDEX(Lists!$B$2:$B$11,MATCH(C7,Lists!$A$2:$A$11,0)))</f>
        <v/>
      </c>
    </row>
    <row r="8" ht="30" customHeight="1">
      <c r="A8" s="2" t="n">
        <v>6</v>
      </c>
      <c r="B8" s="10" t="n"/>
      <c r="C8" s="10" t="n"/>
      <c r="D8" s="11">
        <f>IF(C8="","",INDEX(Lists!$B$2:$B$11,MATCH(C8,Lists!$A$2:$A$11,0)))</f>
        <v/>
      </c>
    </row>
    <row r="9" ht="30" customHeight="1">
      <c r="A9" s="2" t="n">
        <v>7</v>
      </c>
      <c r="B9" s="10" t="n"/>
      <c r="C9" s="10" t="n"/>
      <c r="D9" s="11">
        <f>IF(C9="","",INDEX(Lists!$B$2:$B$11,MATCH(C9,Lists!$A$2:$A$11,0)))</f>
        <v/>
      </c>
    </row>
    <row r="10" ht="30" customHeight="1">
      <c r="A10" s="2" t="n">
        <v>8</v>
      </c>
      <c r="B10" s="10" t="n"/>
      <c r="C10" s="10" t="n"/>
      <c r="D10" s="11">
        <f>IF(C10="","",INDEX(Lists!$B$2:$B$11,MATCH(C10,Lists!$A$2:$A$11,0)))</f>
        <v/>
      </c>
    </row>
    <row r="11" ht="30" customHeight="1">
      <c r="A11" s="2" t="n">
        <v>9</v>
      </c>
      <c r="B11" s="10" t="n"/>
      <c r="C11" s="10" t="n"/>
      <c r="D11" s="11">
        <f>IF(C11="","",INDEX(Lists!$B$2:$B$11,MATCH(C11,Lists!$A$2:$A$11,0)))</f>
        <v/>
      </c>
    </row>
    <row r="12" ht="30" customHeight="1">
      <c r="A12" s="2" t="n">
        <v>10</v>
      </c>
      <c r="B12" s="10" t="n"/>
      <c r="C12" s="10" t="n"/>
      <c r="D12" s="11">
        <f>IF(C12="","",INDEX(Lists!$B$2:$B$11,MATCH(C12,Lists!$A$2:$A$11,0)))</f>
        <v/>
      </c>
    </row>
    <row r="13" ht="30" customHeight="1">
      <c r="A13" s="2" t="n">
        <v>11</v>
      </c>
      <c r="B13" s="10" t="n"/>
      <c r="C13" s="10" t="n"/>
      <c r="D13" s="11">
        <f>IF(C13="","",INDEX(Lists!$B$2:$B$11,MATCH(C13,Lists!$A$2:$A$11,0)))</f>
        <v/>
      </c>
    </row>
    <row r="14" ht="30" customHeight="1">
      <c r="A14" s="2" t="n">
        <v>12</v>
      </c>
      <c r="B14" s="10" t="n"/>
      <c r="C14" s="10" t="n"/>
      <c r="D14" s="11">
        <f>IF(C14="","",INDEX(Lists!$B$2:$B$11,MATCH(C14,Lists!$A$2:$A$11,0)))</f>
        <v/>
      </c>
    </row>
  </sheetData>
  <dataValidations count="1">
    <dataValidation sqref="C2:C14" showDropDown="0" showInputMessage="0" showErrorMessage="1" allowBlank="1" errorTitle="Pick from the list" error="Choose a value from the dropdown." type="list">
      <formula1>=Lists!$A$2:$A$11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0" customWidth="1" min="2" max="2"/>
    <col width="18" customWidth="1" min="3" max="3"/>
  </cols>
  <sheetData>
    <row r="1" ht="32" customHeight="1">
      <c r="A1" s="3" t="inlineStr">
        <is>
          <t>#</t>
        </is>
      </c>
      <c r="B1" s="8" t="inlineStr">
        <is>
          <t>Headline (free text)</t>
        </is>
      </c>
      <c r="C1" s="8" t="inlineStr">
        <is>
          <t>Category</t>
        </is>
      </c>
    </row>
    <row r="2">
      <c r="A2" s="5" t="inlineStr">
        <is>
          <t>EXAMPLE</t>
        </is>
      </c>
      <c r="B2" s="9" t="inlineStr">
        <is>
          <t>Regional hospital closes its maternity ward over staff shortages</t>
        </is>
      </c>
      <c r="C2" s="9" t="inlineStr">
        <is>
          <t>health</t>
        </is>
      </c>
    </row>
    <row r="3" ht="30" customHeight="1">
      <c r="A3" s="2" t="n">
        <v>1</v>
      </c>
      <c r="B3" s="10" t="n"/>
      <c r="C3" s="10" t="n"/>
    </row>
    <row r="4" ht="30" customHeight="1">
      <c r="A4" s="2" t="n">
        <v>2</v>
      </c>
      <c r="B4" s="10" t="n"/>
      <c r="C4" s="10" t="n"/>
    </row>
    <row r="5" ht="30" customHeight="1">
      <c r="A5" s="2" t="n">
        <v>3</v>
      </c>
      <c r="B5" s="10" t="n"/>
      <c r="C5" s="10" t="n"/>
    </row>
    <row r="6" ht="30" customHeight="1">
      <c r="A6" s="2" t="n">
        <v>4</v>
      </c>
      <c r="B6" s="10" t="n"/>
      <c r="C6" s="10" t="n"/>
    </row>
    <row r="7" ht="30" customHeight="1">
      <c r="A7" s="2" t="n">
        <v>5</v>
      </c>
      <c r="B7" s="10" t="n"/>
      <c r="C7" s="10" t="n"/>
    </row>
    <row r="8" ht="30" customHeight="1">
      <c r="A8" s="2" t="n">
        <v>6</v>
      </c>
      <c r="B8" s="10" t="n"/>
      <c r="C8" s="10" t="n"/>
    </row>
    <row r="9" ht="30" customHeight="1">
      <c r="A9" s="2" t="n">
        <v>7</v>
      </c>
      <c r="B9" s="10" t="n"/>
      <c r="C9" s="10" t="n"/>
    </row>
    <row r="10" ht="30" customHeight="1">
      <c r="A10" s="2" t="n">
        <v>8</v>
      </c>
      <c r="B10" s="10" t="n"/>
      <c r="C10" s="10" t="n"/>
    </row>
    <row r="11" ht="30" customHeight="1">
      <c r="A11" s="2" t="n">
        <v>9</v>
      </c>
      <c r="B11" s="10" t="n"/>
      <c r="C11" s="10" t="n"/>
    </row>
    <row r="12" ht="30" customHeight="1">
      <c r="A12" s="2" t="n">
        <v>10</v>
      </c>
      <c r="B12" s="10" t="n"/>
      <c r="C12" s="10" t="n"/>
    </row>
    <row r="13" ht="30" customHeight="1">
      <c r="A13" s="2" t="n">
        <v>11</v>
      </c>
      <c r="B13" s="10" t="n"/>
      <c r="C13" s="10" t="n"/>
    </row>
    <row r="14" ht="30" customHeight="1">
      <c r="A14" s="2" t="n">
        <v>12</v>
      </c>
      <c r="B14" s="10" t="n"/>
      <c r="C14" s="10" t="n"/>
    </row>
  </sheetData>
  <dataValidations count="1">
    <dataValidation sqref="C2:C14" showDropDown="0" showInputMessage="0" showErrorMessage="1" allowBlank="1" errorTitle="Pick from the list" error="Choose a value from the dropdown." type="list">
      <formula1>=Lists!$C$2:$C$9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60" customWidth="1" min="3" max="3"/>
    <col width="36" customWidth="1" min="4" max="4"/>
  </cols>
  <sheetData>
    <row r="1" ht="32" customHeight="1">
      <c r="A1" s="3" t="inlineStr">
        <is>
          <t>#</t>
        </is>
      </c>
      <c r="B1" s="8" t="inlineStr">
        <is>
          <t>Film watched</t>
        </is>
      </c>
      <c r="C1" s="8" t="inlineStr">
        <is>
          <t>What the viewer said afterwards (free text)</t>
        </is>
      </c>
      <c r="D1" s="8" t="inlineStr">
        <is>
          <t>Stars</t>
        </is>
      </c>
    </row>
    <row r="2">
      <c r="A2" s="5" t="inlineStr">
        <is>
          <t>EXAMPLE</t>
        </is>
      </c>
      <c r="B2" s="9" t="inlineStr">
        <is>
          <t>Quiet Ledger</t>
        </is>
      </c>
      <c r="C2" s="9" t="inlineStr">
        <is>
          <t>Checked my phone the whole time, couldn't follow the plot</t>
        </is>
      </c>
      <c r="D2" s="9" t="inlineStr">
        <is>
          <t>2 stars: disappointed</t>
        </is>
      </c>
    </row>
    <row r="3" ht="30" customHeight="1">
      <c r="A3" s="2" t="n">
        <v>1</v>
      </c>
      <c r="B3" s="10" t="n"/>
      <c r="C3" s="10" t="n"/>
      <c r="D3" s="10" t="n"/>
    </row>
    <row r="4" ht="30" customHeight="1">
      <c r="A4" s="2" t="n">
        <v>2</v>
      </c>
      <c r="B4" s="10" t="n"/>
      <c r="C4" s="10" t="n"/>
      <c r="D4" s="10" t="n"/>
    </row>
    <row r="5" ht="30" customHeight="1">
      <c r="A5" s="2" t="n">
        <v>3</v>
      </c>
      <c r="B5" s="10" t="n"/>
      <c r="C5" s="10" t="n"/>
      <c r="D5" s="10" t="n"/>
    </row>
    <row r="6" ht="30" customHeight="1">
      <c r="A6" s="2" t="n">
        <v>4</v>
      </c>
      <c r="B6" s="10" t="n"/>
      <c r="C6" s="10" t="n"/>
      <c r="D6" s="10" t="n"/>
    </row>
    <row r="7" ht="30" customHeight="1">
      <c r="A7" s="2" t="n">
        <v>5</v>
      </c>
      <c r="B7" s="10" t="n"/>
      <c r="C7" s="10" t="n"/>
      <c r="D7" s="10" t="n"/>
    </row>
    <row r="8" ht="30" customHeight="1">
      <c r="A8" s="2" t="n">
        <v>6</v>
      </c>
      <c r="B8" s="10" t="n"/>
      <c r="C8" s="10" t="n"/>
      <c r="D8" s="10" t="n"/>
    </row>
    <row r="9" ht="30" customHeight="1">
      <c r="A9" s="2" t="n">
        <v>7</v>
      </c>
      <c r="B9" s="10" t="n"/>
      <c r="C9" s="10" t="n"/>
      <c r="D9" s="10" t="n"/>
    </row>
    <row r="10" ht="30" customHeight="1">
      <c r="A10" s="2" t="n">
        <v>8</v>
      </c>
      <c r="B10" s="10" t="n"/>
      <c r="C10" s="10" t="n"/>
      <c r="D10" s="10" t="n"/>
    </row>
    <row r="11" ht="30" customHeight="1">
      <c r="A11" s="2" t="n">
        <v>9</v>
      </c>
      <c r="B11" s="10" t="n"/>
      <c r="C11" s="10" t="n"/>
      <c r="D11" s="10" t="n"/>
    </row>
    <row r="12" ht="30" customHeight="1">
      <c r="A12" s="2" t="n">
        <v>10</v>
      </c>
      <c r="B12" s="10" t="n"/>
      <c r="C12" s="10" t="n"/>
      <c r="D12" s="10" t="n"/>
    </row>
  </sheetData>
  <dataValidations count="2">
    <dataValidation sqref="B2:B12" showDropDown="0" showInputMessage="0" showErrorMessage="1" allowBlank="1" errorTitle="Pick from the list" error="Choose a value from the dropdown." type="list">
      <formula1>=Lists!$A$2:$A$11</formula1>
    </dataValidation>
    <dataValidation sqref="D2:D12" showDropDown="0" showInputMessage="0" showErrorMessage="1" allowBlank="1" errorTitle="Pick from the list" error="Choose a value from the dropdown." type="list">
      <formula1>=Lists!$D$2:$D$6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24" customWidth="1" min="3" max="3"/>
    <col width="60" customWidth="1" min="4" max="4"/>
  </cols>
  <sheetData>
    <row r="1" ht="32" customHeight="1">
      <c r="A1" s="3" t="inlineStr">
        <is>
          <t>#</t>
        </is>
      </c>
      <c r="B1" s="8" t="inlineStr">
        <is>
          <t>Claim (free text, your own wording)</t>
        </is>
      </c>
      <c r="C1" s="8" t="inlineStr">
        <is>
          <t>Paper it comes from</t>
        </is>
      </c>
      <c r="D1" s="8" t="inlineStr">
        <is>
          <t>Reference (auto)</t>
        </is>
      </c>
    </row>
    <row r="2">
      <c r="A2" s="5" t="inlineStr">
        <is>
          <t>EXAMPLE</t>
        </is>
      </c>
      <c r="B2" s="9" t="inlineStr">
        <is>
          <t>emergency visits went down by about a quarter after a flu booster</t>
        </is>
      </c>
      <c r="C2" s="9" t="inlineStr">
        <is>
          <t>Mancini et al. (2024)</t>
        </is>
      </c>
      <c r="D2" s="9">
        <f>IF(C2="","",INDEX(Bibliography!$B$2:$B$25,MATCH(C2,Bibliography!$A$2:$A$25,0)))</f>
        <v/>
      </c>
    </row>
    <row r="3" ht="30" customHeight="1">
      <c r="A3" s="2" t="n">
        <v>1</v>
      </c>
      <c r="B3" s="10" t="n"/>
      <c r="C3" s="10" t="n"/>
      <c r="D3" s="11">
        <f>IF(C3="","",INDEX(Bibliography!$B$2:$B$25,MATCH(C3,Bibliography!$A$2:$A$25,0)))</f>
        <v/>
      </c>
    </row>
    <row r="4" ht="30" customHeight="1">
      <c r="A4" s="2" t="n">
        <v>2</v>
      </c>
      <c r="B4" s="10" t="n"/>
      <c r="C4" s="10" t="n"/>
      <c r="D4" s="11">
        <f>IF(C4="","",INDEX(Bibliography!$B$2:$B$25,MATCH(C4,Bibliography!$A$2:$A$25,0)))</f>
        <v/>
      </c>
    </row>
    <row r="5" ht="30" customHeight="1">
      <c r="A5" s="2" t="n">
        <v>3</v>
      </c>
      <c r="B5" s="10" t="n"/>
      <c r="C5" s="10" t="n"/>
      <c r="D5" s="11">
        <f>IF(C5="","",INDEX(Bibliography!$B$2:$B$25,MATCH(C5,Bibliography!$A$2:$A$25,0)))</f>
        <v/>
      </c>
    </row>
    <row r="6" ht="30" customHeight="1">
      <c r="A6" s="2" t="n">
        <v>4</v>
      </c>
      <c r="B6" s="10" t="n"/>
      <c r="C6" s="10" t="n"/>
      <c r="D6" s="11">
        <f>IF(C6="","",INDEX(Bibliography!$B$2:$B$25,MATCH(C6,Bibliography!$A$2:$A$25,0)))</f>
        <v/>
      </c>
    </row>
    <row r="7" ht="30" customHeight="1">
      <c r="A7" s="2" t="n">
        <v>5</v>
      </c>
      <c r="B7" s="10" t="n"/>
      <c r="C7" s="10" t="n"/>
      <c r="D7" s="11">
        <f>IF(C7="","",INDEX(Bibliography!$B$2:$B$25,MATCH(C7,Bibliography!$A$2:$A$25,0)))</f>
        <v/>
      </c>
    </row>
    <row r="8" ht="30" customHeight="1">
      <c r="A8" s="2" t="n">
        <v>6</v>
      </c>
      <c r="B8" s="10" t="n"/>
      <c r="C8" s="10" t="n"/>
      <c r="D8" s="11">
        <f>IF(C8="","",INDEX(Bibliography!$B$2:$B$25,MATCH(C8,Bibliography!$A$2:$A$25,0)))</f>
        <v/>
      </c>
    </row>
    <row r="9" ht="30" customHeight="1">
      <c r="A9" s="2" t="n">
        <v>7</v>
      </c>
      <c r="B9" s="10" t="n"/>
      <c r="C9" s="10" t="n"/>
      <c r="D9" s="11">
        <f>IF(C9="","",INDEX(Bibliography!$B$2:$B$25,MATCH(C9,Bibliography!$A$2:$A$25,0)))</f>
        <v/>
      </c>
    </row>
    <row r="10" ht="30" customHeight="1">
      <c r="A10" s="2" t="n">
        <v>8</v>
      </c>
      <c r="B10" s="10" t="n"/>
      <c r="C10" s="10" t="n"/>
      <c r="D10" s="11">
        <f>IF(C10="","",INDEX(Bibliography!$B$2:$B$25,MATCH(C10,Bibliography!$A$2:$A$25,0)))</f>
        <v/>
      </c>
    </row>
  </sheetData>
  <dataValidations count="1">
    <dataValidation sqref="C2:C10" showDropDown="0" showInputMessage="0" showErrorMessage="1" allowBlank="1" errorTitle="Pick from the list" error="Choose a value from the dropdown." type="list">
      <formula1>=Lists!$E$2:$E$25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60" customWidth="1" min="3" max="3"/>
    <col width="50" customWidth="1" min="4" max="4"/>
    <col width="18" customWidth="1" min="5" max="5"/>
  </cols>
  <sheetData>
    <row r="1" ht="32" customHeight="1">
      <c r="A1" s="3" t="inlineStr">
        <is>
          <t>#</t>
        </is>
      </c>
      <c r="B1" s="8" t="inlineStr">
        <is>
          <t>Paper (source)</t>
        </is>
      </c>
      <c r="C1" s="8" t="inlineStr">
        <is>
          <t>Findings of that paper (auto)</t>
        </is>
      </c>
      <c r="D1" s="8" t="inlineStr">
        <is>
          <t>Claim to check (free text)</t>
        </is>
      </c>
      <c r="E1" s="8" t="inlineStr">
        <is>
          <t>Verdict</t>
        </is>
      </c>
    </row>
    <row r="2">
      <c r="A2" s="5" t="inlineStr">
        <is>
          <t>EXAMPLE</t>
        </is>
      </c>
      <c r="B2" s="9" t="inlineStr">
        <is>
          <t>Mancini et al. (2024)</t>
        </is>
      </c>
      <c r="C2" s="9">
        <f>IF(B2="","",INDEX(Bibliography!$D$2:$D$25,MATCH(B2,Bibliography!$A$2:$A$25,0)))</f>
        <v/>
      </c>
      <c r="D2" s="9" t="inlineStr">
        <is>
          <t>the flu booster increased bone density</t>
        </is>
      </c>
      <c r="E2" s="9" t="inlineStr">
        <is>
          <t>refuted</t>
        </is>
      </c>
    </row>
    <row r="3" ht="30" customHeight="1">
      <c r="A3" s="2" t="n">
        <v>1</v>
      </c>
      <c r="B3" s="10" t="n"/>
      <c r="C3" s="11">
        <f>IF(B3="","",INDEX(Bibliography!$D$2:$D$25,MATCH(B3,Bibliography!$A$2:$A$25,0)))</f>
        <v/>
      </c>
      <c r="D3" s="10" t="n"/>
      <c r="E3" s="10" t="n"/>
    </row>
    <row r="4" ht="30" customHeight="1">
      <c r="A4" s="2" t="n">
        <v>2</v>
      </c>
      <c r="B4" s="10" t="n"/>
      <c r="C4" s="11">
        <f>IF(B4="","",INDEX(Bibliography!$D$2:$D$25,MATCH(B4,Bibliography!$A$2:$A$25,0)))</f>
        <v/>
      </c>
      <c r="D4" s="10" t="n"/>
      <c r="E4" s="10" t="n"/>
    </row>
    <row r="5" ht="30" customHeight="1">
      <c r="A5" s="2" t="n">
        <v>3</v>
      </c>
      <c r="B5" s="10" t="n"/>
      <c r="C5" s="11">
        <f>IF(B5="","",INDEX(Bibliography!$D$2:$D$25,MATCH(B5,Bibliography!$A$2:$A$25,0)))</f>
        <v/>
      </c>
      <c r="D5" s="10" t="n"/>
      <c r="E5" s="10" t="n"/>
    </row>
    <row r="6" ht="30" customHeight="1">
      <c r="A6" s="2" t="n">
        <v>4</v>
      </c>
      <c r="B6" s="10" t="n"/>
      <c r="C6" s="11">
        <f>IF(B6="","",INDEX(Bibliography!$D$2:$D$25,MATCH(B6,Bibliography!$A$2:$A$25,0)))</f>
        <v/>
      </c>
      <c r="D6" s="10" t="n"/>
      <c r="E6" s="10" t="n"/>
    </row>
    <row r="7" ht="30" customHeight="1">
      <c r="A7" s="2" t="n">
        <v>5</v>
      </c>
      <c r="B7" s="10" t="n"/>
      <c r="C7" s="11">
        <f>IF(B7="","",INDEX(Bibliography!$D$2:$D$25,MATCH(B7,Bibliography!$A$2:$A$25,0)))</f>
        <v/>
      </c>
      <c r="D7" s="10" t="n"/>
      <c r="E7" s="10" t="n"/>
    </row>
    <row r="8" ht="30" customHeight="1">
      <c r="A8" s="2" t="n">
        <v>6</v>
      </c>
      <c r="B8" s="10" t="n"/>
      <c r="C8" s="11">
        <f>IF(B8="","",INDEX(Bibliography!$D$2:$D$25,MATCH(B8,Bibliography!$A$2:$A$25,0)))</f>
        <v/>
      </c>
      <c r="D8" s="10" t="n"/>
      <c r="E8" s="10" t="n"/>
    </row>
    <row r="9" ht="30" customHeight="1">
      <c r="A9" s="2" t="n">
        <v>7</v>
      </c>
      <c r="B9" s="10" t="n"/>
      <c r="C9" s="11">
        <f>IF(B9="","",INDEX(Bibliography!$D$2:$D$25,MATCH(B9,Bibliography!$A$2:$A$25,0)))</f>
        <v/>
      </c>
      <c r="D9" s="10" t="n"/>
      <c r="E9" s="10" t="n"/>
    </row>
    <row r="10" ht="30" customHeight="1">
      <c r="A10" s="2" t="n">
        <v>8</v>
      </c>
      <c r="B10" s="10" t="n"/>
      <c r="C10" s="11">
        <f>IF(B10="","",INDEX(Bibliography!$D$2:$D$25,MATCH(B10,Bibliography!$A$2:$A$25,0)))</f>
        <v/>
      </c>
      <c r="D10" s="10" t="n"/>
      <c r="E10" s="10" t="n"/>
    </row>
  </sheetData>
  <dataValidations count="2">
    <dataValidation sqref="B2:B10" showDropDown="0" showInputMessage="0" showErrorMessage="1" allowBlank="1" errorTitle="Pick from the list" error="Choose a value from the dropdown." type="list">
      <formula1>=Lists!$E$2:$E$25</formula1>
    </dataValidation>
    <dataValidation sqref="E2:E10" showDropDown="0" showInputMessage="0" showErrorMessage="1" allowBlank="1" errorTitle="Pick from the list" error="Choose a value from the dropdown." type="list">
      <formula1>=Lists!$F$2:$F$4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</cols>
  <sheetData>
    <row r="1">
      <c r="A1" s="3" t="inlineStr">
        <is>
          <t>Film</t>
        </is>
      </c>
      <c r="B1" s="3" t="inlineStr">
        <is>
          <t>Genre</t>
        </is>
      </c>
      <c r="C1" s="3" t="inlineStr">
        <is>
          <t>News category</t>
        </is>
      </c>
      <c r="D1" s="3" t="inlineStr">
        <is>
          <t>Stars</t>
        </is>
      </c>
      <c r="E1" s="3" t="inlineStr">
        <is>
          <t>Paper key</t>
        </is>
      </c>
      <c r="F1" s="3" t="inlineStr">
        <is>
          <t>Verdict</t>
        </is>
      </c>
    </row>
    <row r="2">
      <c r="A2" s="2" t="inlineStr">
        <is>
          <t>Solaris Drift</t>
        </is>
      </c>
      <c r="B2" s="2" t="inlineStr">
        <is>
          <t>sci-fi</t>
        </is>
      </c>
      <c r="C2" s="2" t="inlineStr">
        <is>
          <t>politics</t>
        </is>
      </c>
      <c r="D2" s="2" t="inlineStr">
        <is>
          <t>1 star: hated it, wants a refund</t>
        </is>
      </c>
      <c r="E2" s="2" t="inlineStr">
        <is>
          <t>Mbeki et al. (2019)</t>
        </is>
      </c>
      <c r="F2" s="2" t="inlineStr">
        <is>
          <t>supported</t>
        </is>
      </c>
    </row>
    <row r="3">
      <c r="A3" s="2" t="inlineStr">
        <is>
          <t>Neon Harbour</t>
        </is>
      </c>
      <c r="B3" s="2" t="inlineStr">
        <is>
          <t>cyberpunk</t>
        </is>
      </c>
      <c r="C3" s="2" t="inlineStr">
        <is>
          <t>sports</t>
        </is>
      </c>
      <c r="D3" s="2" t="inlineStr">
        <is>
          <t>2 stars: disappointed</t>
        </is>
      </c>
      <c r="E3" s="2" t="inlineStr">
        <is>
          <t>Novak et al. (2025)</t>
        </is>
      </c>
      <c r="F3" s="2" t="inlineStr">
        <is>
          <t>refuted</t>
        </is>
      </c>
    </row>
    <row r="4">
      <c r="A4" s="2" t="inlineStr">
        <is>
          <t>The Granite Meadow</t>
        </is>
      </c>
      <c r="B4" s="2" t="inlineStr">
        <is>
          <t>drama</t>
        </is>
      </c>
      <c r="C4" s="2" t="inlineStr">
        <is>
          <t>business</t>
        </is>
      </c>
      <c r="D4" s="2" t="inlineStr">
        <is>
          <t>3 stars: decent, mixed feelings</t>
        </is>
      </c>
      <c r="E4" s="2" t="inlineStr">
        <is>
          <t>Haddad et al. (2020)</t>
        </is>
      </c>
      <c r="F4" s="2" t="inlineStr">
        <is>
          <t>not enough info</t>
        </is>
      </c>
    </row>
    <row r="5">
      <c r="A5" s="2" t="inlineStr">
        <is>
          <t>Cipher of Lanterns</t>
        </is>
      </c>
      <c r="B5" s="2" t="inlineStr">
        <is>
          <t>mystery</t>
        </is>
      </c>
      <c r="C5" s="2" t="inlineStr">
        <is>
          <t>technology</t>
        </is>
      </c>
      <c r="D5" s="2" t="inlineStr">
        <is>
          <t>4 stars: liked it</t>
        </is>
      </c>
      <c r="E5" s="2" t="inlineStr">
        <is>
          <t>Lindqvist et al. (2024)</t>
        </is>
      </c>
    </row>
    <row r="6">
      <c r="A6" s="2" t="inlineStr">
        <is>
          <t>Velvet Orbit</t>
        </is>
      </c>
      <c r="B6" s="2" t="inlineStr">
        <is>
          <t>romance</t>
        </is>
      </c>
      <c r="C6" s="2" t="inlineStr">
        <is>
          <t>health</t>
        </is>
      </c>
      <c r="D6" s="2" t="inlineStr">
        <is>
          <t>5 stars: loved it, an instant favourite</t>
        </is>
      </c>
      <c r="E6" s="2" t="inlineStr">
        <is>
          <t>Esposito et al. (2016)</t>
        </is>
      </c>
    </row>
    <row r="7">
      <c r="A7" s="2" t="inlineStr">
        <is>
          <t>Quiet Ledger</t>
        </is>
      </c>
      <c r="B7" s="2" t="inlineStr">
        <is>
          <t>thriller</t>
        </is>
      </c>
      <c r="C7" s="2" t="inlineStr">
        <is>
          <t>science</t>
        </is>
      </c>
      <c r="E7" s="2" t="inlineStr">
        <is>
          <t>Kowalski et al. (2018)</t>
        </is>
      </c>
    </row>
    <row r="8">
      <c r="A8" s="2" t="inlineStr">
        <is>
          <t>Stone River Pact</t>
        </is>
      </c>
      <c r="B8" s="2" t="inlineStr">
        <is>
          <t>western</t>
        </is>
      </c>
      <c r="C8" s="2" t="inlineStr">
        <is>
          <t>entertainment</t>
        </is>
      </c>
      <c r="E8" s="2" t="inlineStr">
        <is>
          <t>Iyer et al. (2009)</t>
        </is>
      </c>
    </row>
    <row r="9">
      <c r="A9" s="2" t="inlineStr">
        <is>
          <t>Cloud Engine</t>
        </is>
      </c>
      <c r="B9" s="2" t="inlineStr">
        <is>
          <t>adventure</t>
        </is>
      </c>
      <c r="C9" s="2" t="inlineStr">
        <is>
          <t>crime</t>
        </is>
      </c>
      <c r="E9" s="2" t="inlineStr">
        <is>
          <t>Holm et al. (2013)</t>
        </is>
      </c>
    </row>
    <row r="10">
      <c r="A10" s="2" t="inlineStr">
        <is>
          <t>Midnight Market</t>
        </is>
      </c>
      <c r="B10" s="2" t="inlineStr">
        <is>
          <t>comedy</t>
        </is>
      </c>
      <c r="E10" s="2" t="inlineStr">
        <is>
          <t>Delacroix et al. (2022)</t>
        </is>
      </c>
    </row>
    <row r="11">
      <c r="A11" s="2" t="inlineStr">
        <is>
          <t>Iron Tide</t>
        </is>
      </c>
      <c r="B11" s="2" t="inlineStr">
        <is>
          <t>war</t>
        </is>
      </c>
      <c r="E11" s="2" t="inlineStr">
        <is>
          <t>Moreau et al. (2021)</t>
        </is>
      </c>
    </row>
    <row r="12">
      <c r="E12" s="2" t="inlineStr">
        <is>
          <t>Sato et al. (2012)</t>
        </is>
      </c>
    </row>
    <row r="13">
      <c r="E13" s="2" t="inlineStr">
        <is>
          <t>Okafor et al. (2010)</t>
        </is>
      </c>
    </row>
    <row r="14">
      <c r="E14" s="2" t="inlineStr">
        <is>
          <t>Brennan et al. (2011)</t>
        </is>
      </c>
    </row>
    <row r="15">
      <c r="E15" s="2" t="inlineStr">
        <is>
          <t>Rossi et al. (2017)</t>
        </is>
      </c>
    </row>
    <row r="16">
      <c r="E16" s="2" t="inlineStr">
        <is>
          <t>Chowdhury et al. (2014)</t>
        </is>
      </c>
    </row>
    <row r="17">
      <c r="E17" s="2" t="inlineStr">
        <is>
          <t>Petrov et al. (2008)</t>
        </is>
      </c>
    </row>
    <row r="18">
      <c r="E18" s="2" t="inlineStr">
        <is>
          <t>Duarte et al. (2015)</t>
        </is>
      </c>
    </row>
    <row r="19">
      <c r="E19" s="2" t="inlineStr">
        <is>
          <t>Walsh et al. (2023)</t>
        </is>
      </c>
    </row>
    <row r="20">
      <c r="E20" s="2" t="inlineStr">
        <is>
          <t>Oyelaran et al. (2019)</t>
        </is>
      </c>
    </row>
    <row r="21">
      <c r="E21" s="2" t="inlineStr">
        <is>
          <t>Andersen et al. (2025)</t>
        </is>
      </c>
    </row>
    <row r="22">
      <c r="E22" s="2" t="inlineStr">
        <is>
          <t>Nakamura et al. (2020)</t>
        </is>
      </c>
    </row>
    <row r="23">
      <c r="E23" s="2" t="inlineStr">
        <is>
          <t>Mancini et al. (2024)</t>
        </is>
      </c>
    </row>
    <row r="24">
      <c r="E24" s="2" t="inlineStr">
        <is>
          <t>Varga et al. (2016)</t>
        </is>
      </c>
    </row>
    <row r="25">
      <c r="E25" s="2" t="inlineStr">
        <is>
          <t>Ferreira et al. (2018)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2" customWidth="1" min="3" max="3"/>
    <col width="80" customWidth="1" min="4" max="4"/>
  </cols>
  <sheetData>
    <row r="1">
      <c r="A1" s="3" t="inlineStr">
        <is>
          <t>Paper key</t>
        </is>
      </c>
      <c r="B1" s="3" t="inlineStr">
        <is>
          <t>Full reference</t>
        </is>
      </c>
      <c r="C1" s="3" t="inlineStr">
        <is>
          <t>Topic</t>
        </is>
      </c>
      <c r="D1" s="3" t="inlineStr">
        <is>
          <t>Findings (what the paper says)</t>
        </is>
      </c>
    </row>
    <row r="2">
      <c r="A2" s="12" t="inlineStr">
        <is>
          <t>Mbeki et al. (2019)</t>
        </is>
      </c>
      <c r="B2" s="12" t="inlineStr">
        <is>
          <t>Mbeki, Fischer and Walsh (2019). A sugar-free diet in adults over sixty: cluster trial. Urban Studies Review.</t>
        </is>
      </c>
      <c r="C2" s="12" t="inlineStr">
        <is>
          <t>diet</t>
        </is>
      </c>
      <c r="D2" s="12" t="inlineStr">
        <is>
          <t>Study of a sugar-free diet in adults over sixty. No difference in waist circumference was found with a sugar-free diet. Resting heart rate climbed by 31% with a sugar-free diet.</t>
        </is>
      </c>
    </row>
    <row r="3">
      <c r="A3" s="12" t="inlineStr">
        <is>
          <t>Novak et al. (2025)</t>
        </is>
      </c>
      <c r="B3" s="12" t="inlineStr">
        <is>
          <t>Novak, Fischer and Walsh (2025). A sugar-free diet in university students: randomised trial. Occupational Wellbeing.</t>
        </is>
      </c>
      <c r="C3" s="12" t="inlineStr">
        <is>
          <t>diet</t>
        </is>
      </c>
      <c r="D3" s="12" t="inlineStr">
        <is>
          <t>Study of a sugar-free diet in university students. Fasting glucose dropped by 41% with a sugar-free diet. Systolic blood pressure dropped by 13% with a sugar-free diet.</t>
        </is>
      </c>
    </row>
    <row r="4">
      <c r="A4" s="12" t="inlineStr">
        <is>
          <t>Haddad et al. (2020)</t>
        </is>
      </c>
      <c r="B4" s="12" t="inlineStr">
        <is>
          <t>Haddad, Fischer and Delacroix (2020). A high-protein breakfast in adults over sixty: twelve-week study. Urban Studies Review.</t>
        </is>
      </c>
      <c r="C4" s="12" t="inlineStr">
        <is>
          <t>diet</t>
        </is>
      </c>
      <c r="D4" s="12" t="inlineStr">
        <is>
          <t>Study of a high-protein breakfast in adults over sixty. Waist circumference dropped by 44% with a high-protein breakfast. No difference in body weight was found with a high-protein breakfast.</t>
        </is>
      </c>
    </row>
    <row r="5">
      <c r="A5" s="12" t="inlineStr">
        <is>
          <t>Lindqvist et al. (2024)</t>
        </is>
      </c>
      <c r="B5" s="12" t="inlineStr">
        <is>
          <t>Lindqvist, Iyer and Brennan (2024). A weighted blanket in retired adults: two-year cohort study. Environmental Epidemiology Notes.</t>
        </is>
      </c>
      <c r="C5" s="12" t="inlineStr">
        <is>
          <t>sleep</t>
        </is>
      </c>
      <c r="D5" s="12" t="inlineStr">
        <is>
          <t>Study of a weighted blanket in retired adults. No difference in morning reaction time was found with a weighted blanket. No difference in evening melatonin levels was found with a weighted blanket.</t>
        </is>
      </c>
    </row>
    <row r="6">
      <c r="A6" s="12" t="inlineStr">
        <is>
          <t>Esposito et al. (2016)</t>
        </is>
      </c>
      <c r="B6" s="12" t="inlineStr">
        <is>
          <t>Esposito, Novak and Rossi (2016). A weighted blanket in people with insomnia: controlled pilot study. Annals of Everyday Medicine.</t>
        </is>
      </c>
      <c r="C6" s="12" t="inlineStr">
        <is>
          <t>sleep</t>
        </is>
      </c>
      <c r="D6" s="12" t="inlineStr">
        <is>
          <t>Study of a weighted blanket in people with insomnia. Night-time awakenings dropped by 14% with a weighted blanket. No difference in daytime sleepiness was found with a weighted blanket.</t>
        </is>
      </c>
    </row>
    <row r="7">
      <c r="A7" s="12" t="inlineStr">
        <is>
          <t>Kowalski et al. (2018)</t>
        </is>
      </c>
      <c r="B7" s="12" t="inlineStr">
        <is>
          <t>Kowalski, Ahmadi and Haddad (2018). Blue-light glasses in retired adults: controlled pilot study. Environmental Epidemiology Notes.</t>
        </is>
      </c>
      <c r="C7" s="12" t="inlineStr">
        <is>
          <t>sleep</t>
        </is>
      </c>
      <c r="D7" s="12" t="inlineStr">
        <is>
          <t>Study of blue-light glasses in retired adults. Morning reaction time climbed by 36% with blue-light glasses. No difference in total sleep time was found with blue-light glasses.</t>
        </is>
      </c>
    </row>
    <row r="8">
      <c r="A8" s="12" t="inlineStr">
        <is>
          <t>Iyer et al. (2009)</t>
        </is>
      </c>
      <c r="B8" s="12" t="inlineStr">
        <is>
          <t>Iyer, Petrov and Ahmadi (2009). A stair-climbing programme in sedentary adults: two-year cohort study. Urban Studies Review.</t>
        </is>
      </c>
      <c r="C8" s="12" t="inlineStr">
        <is>
          <t>exercise</t>
        </is>
      </c>
      <c r="D8" s="12" t="inlineStr">
        <is>
          <t>Study of a stair-climbing programme in sedentary adults. Grip strength dropped by 32% with a stair-climbing programme. No difference in falls per year was found with a stair-climbing programme.</t>
        </is>
      </c>
    </row>
    <row r="9">
      <c r="A9" s="12" t="inlineStr">
        <is>
          <t>Holm et al. (2013)</t>
        </is>
      </c>
      <c r="B9" s="12" t="inlineStr">
        <is>
          <t>Holm, Sato and Tanaka (2013). A stair-climbing programme in cancer survivors: randomised trial. Journal of Applied Health.</t>
        </is>
      </c>
      <c r="C9" s="12" t="inlineStr">
        <is>
          <t>exercise</t>
        </is>
      </c>
      <c r="D9" s="12" t="inlineStr">
        <is>
          <t>Study of a stair-climbing programme in cancer survivors. VO2 max dropped by 31% with a stair-climbing programme. Lower-back pain dropped by 33% with a stair-climbing programme.</t>
        </is>
      </c>
    </row>
    <row r="10">
      <c r="A10" s="12" t="inlineStr">
        <is>
          <t>Delacroix et al. (2022)</t>
        </is>
      </c>
      <c r="B10" s="12" t="inlineStr">
        <is>
          <t>Delacroix, Rossi and Petrov (2022). Group swimming lessons in sedentary adults: randomised trial. Education Research Quarterly.</t>
        </is>
      </c>
      <c r="C10" s="12" t="inlineStr">
        <is>
          <t>exercise</t>
        </is>
      </c>
      <c r="D10" s="12" t="inlineStr">
        <is>
          <t>Study of group swimming lessons in sedentary adults. Grip strength dropped by 44% with group swimming lessons. Muscle mass dropped by 20% with group swimming lessons.</t>
        </is>
      </c>
    </row>
    <row r="11">
      <c r="A11" s="12" t="inlineStr">
        <is>
          <t>Moreau et al. (2021)</t>
        </is>
      </c>
      <c r="B11" s="12" t="inlineStr">
        <is>
          <t>Moreau, Mancini and Holm (2021). HEPA air purifiers in elderly city residents: cluster trial. Public Health Letters.</t>
        </is>
      </c>
      <c r="C11" s="12" t="inlineStr">
        <is>
          <t>air</t>
        </is>
      </c>
      <c r="D11" s="12" t="inlineStr">
        <is>
          <t>Study of HEPA air purifiers in elderly city residents. Indoor PM2.5 concentration dropped by 39% with HEPA air purifiers. Asthma attacks dropped by 35% with HEPA air purifiers.</t>
        </is>
      </c>
    </row>
    <row r="12">
      <c r="A12" s="12" t="inlineStr">
        <is>
          <t>Sato et al. (2012)</t>
        </is>
      </c>
      <c r="B12" s="12" t="inlineStr">
        <is>
          <t>Sato, Varga and Delacroix (2012). HEPA air purifiers in outdoor workers: twelve-week study. Environmental Epidemiology Notes.</t>
        </is>
      </c>
      <c r="C12" s="12" t="inlineStr">
        <is>
          <t>air</t>
        </is>
      </c>
      <c r="D12" s="12" t="inlineStr">
        <is>
          <t>Study of HEPA air purifiers in outdoor workers. Hospital admissions for bronchitis climbed by 10% with HEPA air purifiers. No difference in lung function was found with HEPA air purifiers.</t>
        </is>
      </c>
    </row>
    <row r="13">
      <c r="A13" s="12" t="inlineStr">
        <is>
          <t>Okafor et al. (2010)</t>
        </is>
      </c>
      <c r="B13" s="12" t="inlineStr">
        <is>
          <t>Okafor, Walsh and Ahmadi (2010). Window filters in elderly city residents: twelve-week study. Education Research Quarterly.</t>
        </is>
      </c>
      <c r="C13" s="12" t="inlineStr">
        <is>
          <t>air</t>
        </is>
      </c>
      <c r="D13" s="12" t="inlineStr">
        <is>
          <t>Study of window filters in elderly city residents. Indoor PM2.5 concentration climbed by 37% with window filters. No difference in inhaler use was found with window filters.</t>
        </is>
      </c>
    </row>
    <row r="14">
      <c r="A14" s="12" t="inlineStr">
        <is>
          <t>Brennan et al. (2011)</t>
        </is>
      </c>
      <c r="B14" s="12" t="inlineStr">
        <is>
          <t>Brennan, Ahmadi and Chowdhury (2011). Daily reading aloud in primary-school pupils: two-year cohort study. Urban Studies Review.</t>
        </is>
      </c>
      <c r="C14" s="12" t="inlineStr">
        <is>
          <t>education</t>
        </is>
      </c>
      <c r="D14" s="12" t="inlineStr">
        <is>
          <t>Study of daily reading aloud in primary-school pupils. Self-reported anxiety dropped by 6% with daily reading aloud. No difference in maths test scores was found with daily reading aloud.</t>
        </is>
      </c>
    </row>
    <row r="15">
      <c r="A15" s="12" t="inlineStr">
        <is>
          <t>Rossi et al. (2017)</t>
        </is>
      </c>
      <c r="B15" s="12" t="inlineStr">
        <is>
          <t>Rossi, Castillo and Ahmadi (2017). Daily reading aloud in adult learners: cluster trial. Environmental Epidemiology Notes.</t>
        </is>
      </c>
      <c r="C15" s="12" t="inlineStr">
        <is>
          <t>education</t>
        </is>
      </c>
      <c r="D15" s="12" t="inlineStr">
        <is>
          <t>Study of daily reading aloud in adult learners. Classroom disruptions dropped by 36% with daily reading aloud. No difference in absenteeism was found with daily reading aloud.</t>
        </is>
      </c>
    </row>
    <row r="16">
      <c r="A16" s="12" t="inlineStr">
        <is>
          <t>Chowdhury et al. (2014)</t>
        </is>
      </c>
      <c r="B16" s="12" t="inlineStr">
        <is>
          <t>Chowdhury, Kowalski and Moreau (2014). Outdoor lessons in primary-school pupils: cluster trial. Public Health Letters.</t>
        </is>
      </c>
      <c r="C16" s="12" t="inlineStr">
        <is>
          <t>education</t>
        </is>
      </c>
      <c r="D16" s="12" t="inlineStr">
        <is>
          <t>Study of outdoor lessons in primary-school pupils. Self-reported anxiety dropped by 32% with outdoor lessons. Reading fluency climbed by 34% with outdoor lessons.</t>
        </is>
      </c>
    </row>
    <row r="17">
      <c r="A17" s="12" t="inlineStr">
        <is>
          <t>Petrov et al. (2008)</t>
        </is>
      </c>
      <c r="B17" s="12" t="inlineStr">
        <is>
          <t>Petrov, Petrov and Kim (2008). Fully remote work in public-sector clerks: cluster trial. Public Health Letters.</t>
        </is>
      </c>
      <c r="C17" s="12" t="inlineStr">
        <is>
          <t>work</t>
        </is>
      </c>
      <c r="D17" s="12" t="inlineStr">
        <is>
          <t>Study of fully remote work in public-sector clerks. Sick days dropped by 35% with fully remote work. Commute time dropped by 13% with fully remote work.</t>
        </is>
      </c>
    </row>
    <row r="18">
      <c r="A18" s="12" t="inlineStr">
        <is>
          <t>Duarte et al. (2015)</t>
        </is>
      </c>
      <c r="B18" s="12" t="inlineStr">
        <is>
          <t>Duarte, Walsh and Delacroix (2015). Fully remote work in software engineers: two-year cohort study. Urban Studies Review.</t>
        </is>
      </c>
      <c r="C18" s="12" t="inlineStr">
        <is>
          <t>work</t>
        </is>
      </c>
      <c r="D18" s="12" t="inlineStr">
        <is>
          <t>Study of fully remote work in software engineers. Staff turnover dropped by 15% with fully remote work. Self-rated productivity dropped by 29% with fully remote work.</t>
        </is>
      </c>
    </row>
    <row r="19">
      <c r="A19" s="12" t="inlineStr">
        <is>
          <t>Walsh et al. (2023)</t>
        </is>
      </c>
      <c r="B19" s="12" t="inlineStr">
        <is>
          <t>Walsh, Nakamura and Andersen (2023). Quiet rooms in public-sector clerks: two-year cohort study. Public Health Letters.</t>
        </is>
      </c>
      <c r="C19" s="12" t="inlineStr">
        <is>
          <t>work</t>
        </is>
      </c>
      <c r="D19" s="12" t="inlineStr">
        <is>
          <t>Study of quiet rooms in public-sector clerks. Sick days dropped by 29% with quiet rooms. Burnout scores climbed by 16% with quiet rooms.</t>
        </is>
      </c>
    </row>
    <row r="20">
      <c r="A20" s="12" t="inlineStr">
        <is>
          <t>Oyelaran et al. (2019)</t>
        </is>
      </c>
      <c r="B20" s="12" t="inlineStr">
        <is>
          <t>Oyelaran, Petrov and Tanaka (2019). Green roofs in suburban commuters: randomised trial. Journal of Applied Health.</t>
        </is>
      </c>
      <c r="C20" s="12" t="inlineStr">
        <is>
          <t>city</t>
        </is>
      </c>
      <c r="D20" s="12" t="inlineStr">
        <is>
          <t>Study of green roofs in suburban commuters. Reported loneliness climbed by 11% with green roofs. Street crime dropped by 19% with green roofs.</t>
        </is>
      </c>
    </row>
    <row r="21">
      <c r="A21" s="12" t="inlineStr">
        <is>
          <t>Andersen et al. (2025)</t>
        </is>
      </c>
      <c r="B21" s="12" t="inlineStr">
        <is>
          <t>Andersen, Delacroix and Petrov (2025). Green roofs in social-housing tenants: two-year cohort study. Environmental Epidemiology Notes.</t>
        </is>
      </c>
      <c r="C21" s="12" t="inlineStr">
        <is>
          <t>city</t>
        </is>
      </c>
      <c r="D21" s="12" t="inlineStr">
        <is>
          <t>Study of green roofs in social-housing tenants. Traffic injuries climbed by 31% with green roofs. Cycling trips dropped by 6% with green roofs.</t>
        </is>
      </c>
    </row>
    <row r="22">
      <c r="A22" s="12" t="inlineStr">
        <is>
          <t>Nakamura et al. (2020)</t>
        </is>
      </c>
      <c r="B22" s="12" t="inlineStr">
        <is>
          <t>Nakamura, Kowalski and Sato (2020). Public drinking fountains in suburban commuters: cluster trial. Occupational Wellbeing.</t>
        </is>
      </c>
      <c r="C22" s="12" t="inlineStr">
        <is>
          <t>city</t>
        </is>
      </c>
      <c r="D22" s="12" t="inlineStr">
        <is>
          <t>Study of public drinking fountains in suburban commuters. Reported loneliness dropped by 12% with public drinking fountains. Heat-related deaths climbed by 40% with public drinking fountains.</t>
        </is>
      </c>
    </row>
    <row r="23">
      <c r="A23" s="12" t="inlineStr">
        <is>
          <t>Mancini et al. (2024)</t>
        </is>
      </c>
      <c r="B23" s="12" t="inlineStr">
        <is>
          <t>Mancini, Tanaka and Andersen (2024). A flu vaccine booster in patients with hypertension: twelve-week study. Occupational Wellbeing.</t>
        </is>
      </c>
      <c r="C23" s="12" t="inlineStr">
        <is>
          <t>medicine</t>
        </is>
      </c>
      <c r="D23" s="12" t="inlineStr">
        <is>
          <t>Study of a flu vaccine booster in patients with hypertension. Bone density dropped by 11% with a flu vaccine booster. Emergency visits dropped by 27% with a flu vaccine booster.</t>
        </is>
      </c>
    </row>
    <row r="24">
      <c r="A24" s="12" t="inlineStr">
        <is>
          <t>Varga et al. (2016)</t>
        </is>
      </c>
      <c r="B24" s="12" t="inlineStr">
        <is>
          <t>Varga, Keller and Tanaka (2016). A flu vaccine booster in people with chronic pain: two-year cohort study. Public Health Letters.</t>
        </is>
      </c>
      <c r="C24" s="12" t="inlineStr">
        <is>
          <t>medicine</t>
        </is>
      </c>
      <c r="D24" s="12" t="inlineStr">
        <is>
          <t>Study of a flu vaccine booster in people with chronic pain. Depression scores climbed by 22% with a flu vaccine booster. Hospital readmissions dropped by 23% with a flu vaccine booster.</t>
        </is>
      </c>
    </row>
    <row r="25">
      <c r="A25" s="12" t="inlineStr">
        <is>
          <t>Ferreira et al. (2018)</t>
        </is>
      </c>
      <c r="B25" s="12" t="inlineStr">
        <is>
          <t>Ferreira, Novak and Lindqvist (2018). Text-message reminders in patients with hypertension: randomised trial. Journal of Applied Health.</t>
        </is>
      </c>
      <c r="C25" s="12" t="inlineStr">
        <is>
          <t>medicine</t>
        </is>
      </c>
      <c r="D25" s="12" t="inlineStr">
        <is>
          <t>Study of text-message reminders in patients with hypertension. Bone density dropped by 31% with text-message reminders. Infection rates climbed by 31% with text-message reminders.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2026-09-26T15:11:32Z</dcterms:created>
  <dcterms:modified xsi:type="dcterms:W3CDTF">2026-09-26T15:11:32Z</dcterms:modified>
</cp:coreProperties>
</file>